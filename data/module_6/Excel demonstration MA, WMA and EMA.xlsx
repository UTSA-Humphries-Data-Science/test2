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M:\Courses_EX\Multivariate Statistics and Visual Analystics 2024\Session 6_Time series\"/>
    </mc:Choice>
  </mc:AlternateContent>
  <xr:revisionPtr revIDLastSave="0" documentId="8_{2762901D-40AC-4AE7-85CC-5686315C76C9}" xr6:coauthVersionLast="47" xr6:coauthVersionMax="47" xr10:uidLastSave="{00000000-0000-0000-0000-000000000000}"/>
  <bookViews>
    <workbookView xWindow="28680" yWindow="-120" windowWidth="29040" windowHeight="15720" xr2:uid="{DDCC6B52-F8B3-4696-AF82-6EDCA98784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2" i="1" l="1"/>
  <c r="T4" i="1"/>
  <c r="T5" i="1"/>
  <c r="T6" i="1"/>
  <c r="T7" i="1"/>
  <c r="T8" i="1"/>
  <c r="T9" i="1"/>
  <c r="T10" i="1"/>
  <c r="T11" i="1"/>
  <c r="T3" i="1"/>
  <c r="S11" i="1"/>
  <c r="S3" i="1"/>
  <c r="S4" i="1"/>
  <c r="S5" i="1"/>
  <c r="S6" i="1"/>
  <c r="S7" i="1"/>
  <c r="S8" i="1"/>
  <c r="S9" i="1"/>
  <c r="S10" i="1"/>
  <c r="R4" i="1"/>
  <c r="R5" i="1"/>
  <c r="R6" i="1"/>
  <c r="R7" i="1"/>
  <c r="R8" i="1"/>
  <c r="R9" i="1"/>
  <c r="R10" i="1"/>
  <c r="R11" i="1"/>
  <c r="R3" i="1"/>
  <c r="L12" i="1"/>
  <c r="K12" i="1"/>
  <c r="L8" i="1"/>
  <c r="L9" i="1"/>
  <c r="L10" i="1"/>
  <c r="L11" i="1"/>
  <c r="L7" i="1"/>
  <c r="K9" i="1"/>
  <c r="K8" i="1"/>
  <c r="K10" i="1"/>
  <c r="K11" i="1"/>
  <c r="K7" i="1"/>
  <c r="C12" i="1"/>
  <c r="D12" i="1"/>
  <c r="D8" i="1"/>
  <c r="D9" i="1"/>
  <c r="D10" i="1"/>
  <c r="D11" i="1"/>
  <c r="D7" i="1"/>
  <c r="C11" i="1"/>
  <c r="C10" i="1"/>
  <c r="C9" i="1"/>
  <c r="C8" i="1"/>
  <c r="C7" i="1"/>
</calcChain>
</file>

<file path=xl/sharedStrings.xml><?xml version="1.0" encoding="utf-8"?>
<sst xmlns="http://schemas.openxmlformats.org/spreadsheetml/2006/main" count="16" uniqueCount="9">
  <si>
    <t xml:space="preserve">Time </t>
  </si>
  <si>
    <t>Sales</t>
  </si>
  <si>
    <t>MA BASED PREDICTION</t>
  </si>
  <si>
    <t>Prediction for 11th period</t>
  </si>
  <si>
    <t>MAPE</t>
  </si>
  <si>
    <t xml:space="preserve">weight assignment </t>
  </si>
  <si>
    <t>predicted values</t>
  </si>
  <si>
    <t>Y(t-1)</t>
  </si>
  <si>
    <t>T(t+1)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</si>
</sst>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C9A30-8543-4506-B34D-A0EF865EFEF2}">
  <dimension ref="A1:T12"/>
  <sheetViews>
    <sheetView tabSelected="1" workbookViewId="0">
      <selection activeCell="S14" sqref="S14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4</v>
      </c>
      <c r="H1" t="s">
        <v>0</v>
      </c>
      <c r="I1" t="s">
        <v>1</v>
      </c>
      <c r="J1" t="s">
        <v>5</v>
      </c>
      <c r="K1" t="s">
        <v>6</v>
      </c>
      <c r="L1" t="s">
        <v>4</v>
      </c>
      <c r="P1" t="s">
        <v>0</v>
      </c>
      <c r="Q1" t="s">
        <v>1</v>
      </c>
      <c r="R1" t="s">
        <v>7</v>
      </c>
      <c r="S1" t="s">
        <v>8</v>
      </c>
      <c r="T1" t="s">
        <v>4</v>
      </c>
    </row>
    <row r="2" spans="1:20" x14ac:dyDescent="0.25">
      <c r="A2">
        <v>1</v>
      </c>
      <c r="B2">
        <v>200</v>
      </c>
      <c r="H2">
        <v>1</v>
      </c>
      <c r="I2">
        <v>200</v>
      </c>
      <c r="J2">
        <v>0.1</v>
      </c>
      <c r="P2">
        <v>1</v>
      </c>
      <c r="Q2">
        <v>200</v>
      </c>
    </row>
    <row r="3" spans="1:20" x14ac:dyDescent="0.25">
      <c r="A3">
        <v>2</v>
      </c>
      <c r="B3">
        <v>210</v>
      </c>
      <c r="H3">
        <v>2</v>
      </c>
      <c r="I3">
        <v>210</v>
      </c>
      <c r="J3">
        <v>0.1</v>
      </c>
      <c r="P3">
        <v>2</v>
      </c>
      <c r="Q3">
        <v>210</v>
      </c>
      <c r="R3">
        <f>Q2</f>
        <v>200</v>
      </c>
      <c r="S3">
        <f t="shared" ref="S3:S11" si="0">Q3*0.2+(1-0.2)*R3</f>
        <v>202</v>
      </c>
      <c r="T3">
        <f>ABS((Q2-S3)/Q2)</f>
        <v>0.01</v>
      </c>
    </row>
    <row r="4" spans="1:20" x14ac:dyDescent="0.25">
      <c r="A4">
        <v>3</v>
      </c>
      <c r="B4">
        <v>250</v>
      </c>
      <c r="H4">
        <v>3</v>
      </c>
      <c r="I4">
        <v>250</v>
      </c>
      <c r="J4">
        <v>0.1</v>
      </c>
      <c r="P4">
        <v>3</v>
      </c>
      <c r="Q4">
        <v>250</v>
      </c>
      <c r="R4">
        <f t="shared" ref="R4:R11" si="1">Q3</f>
        <v>210</v>
      </c>
      <c r="S4">
        <f t="shared" si="0"/>
        <v>218</v>
      </c>
      <c r="T4">
        <f t="shared" ref="T4:T11" si="2">ABS((Q3-S4)/Q3)</f>
        <v>3.8095238095238099E-2</v>
      </c>
    </row>
    <row r="5" spans="1:20" x14ac:dyDescent="0.25">
      <c r="A5">
        <v>4</v>
      </c>
      <c r="B5">
        <v>190</v>
      </c>
      <c r="H5">
        <v>4</v>
      </c>
      <c r="I5">
        <v>190</v>
      </c>
      <c r="J5">
        <v>0.3</v>
      </c>
      <c r="P5">
        <v>4</v>
      </c>
      <c r="Q5">
        <v>190</v>
      </c>
      <c r="R5">
        <f t="shared" si="1"/>
        <v>250</v>
      </c>
      <c r="S5">
        <f t="shared" si="0"/>
        <v>238</v>
      </c>
      <c r="T5">
        <f t="shared" si="2"/>
        <v>4.8000000000000001E-2</v>
      </c>
    </row>
    <row r="6" spans="1:20" x14ac:dyDescent="0.25">
      <c r="A6">
        <v>5</v>
      </c>
      <c r="B6">
        <v>180</v>
      </c>
      <c r="H6">
        <v>5</v>
      </c>
      <c r="I6">
        <v>180</v>
      </c>
      <c r="J6">
        <v>0.4</v>
      </c>
      <c r="P6">
        <v>5</v>
      </c>
      <c r="Q6">
        <v>180</v>
      </c>
      <c r="R6">
        <f t="shared" si="1"/>
        <v>190</v>
      </c>
      <c r="S6">
        <f t="shared" si="0"/>
        <v>188</v>
      </c>
      <c r="T6">
        <f t="shared" si="2"/>
        <v>1.0526315789473684E-2</v>
      </c>
    </row>
    <row r="7" spans="1:20" x14ac:dyDescent="0.25">
      <c r="A7">
        <v>6</v>
      </c>
      <c r="B7">
        <v>250</v>
      </c>
      <c r="C7">
        <f>AVERAGE(B2:B6)</f>
        <v>206</v>
      </c>
      <c r="D7">
        <f>ABS((B7-C7)/B7)</f>
        <v>0.17599999999999999</v>
      </c>
      <c r="H7">
        <v>6</v>
      </c>
      <c r="I7">
        <v>250</v>
      </c>
      <c r="K7">
        <f>I2*$J$2+I3*$J$3+I4*$J$4+I5*$J$5+I6*$J$6</f>
        <v>195</v>
      </c>
      <c r="L7">
        <f>ABS((I7-K7)/I7)</f>
        <v>0.22</v>
      </c>
      <c r="P7">
        <v>6</v>
      </c>
      <c r="Q7">
        <v>250</v>
      </c>
      <c r="R7">
        <f t="shared" si="1"/>
        <v>180</v>
      </c>
      <c r="S7">
        <f t="shared" si="0"/>
        <v>194</v>
      </c>
      <c r="T7">
        <f t="shared" si="2"/>
        <v>7.7777777777777779E-2</v>
      </c>
    </row>
    <row r="8" spans="1:20" x14ac:dyDescent="0.25">
      <c r="A8">
        <v>7</v>
      </c>
      <c r="B8">
        <v>230</v>
      </c>
      <c r="C8">
        <f>AVERAGE(B3:B7)</f>
        <v>216</v>
      </c>
      <c r="D8">
        <f t="shared" ref="D8:D11" si="3">ABS((B8-C8)/B8)</f>
        <v>6.0869565217391307E-2</v>
      </c>
      <c r="H8">
        <v>7</v>
      </c>
      <c r="I8">
        <v>230</v>
      </c>
      <c r="K8">
        <f>I3*$J$2+I4*$J$3+I5*$J$4+I6*$J$5+I7*$J$6</f>
        <v>219</v>
      </c>
      <c r="L8">
        <f t="shared" ref="L8:L11" si="4">ABS((I8-K8)/I8)</f>
        <v>4.7826086956521741E-2</v>
      </c>
      <c r="P8">
        <v>7</v>
      </c>
      <c r="Q8">
        <v>230</v>
      </c>
      <c r="R8">
        <f t="shared" si="1"/>
        <v>250</v>
      </c>
      <c r="S8">
        <f t="shared" si="0"/>
        <v>246</v>
      </c>
      <c r="T8">
        <f t="shared" si="2"/>
        <v>1.6E-2</v>
      </c>
    </row>
    <row r="9" spans="1:20" x14ac:dyDescent="0.25">
      <c r="A9">
        <v>8</v>
      </c>
      <c r="B9">
        <v>270</v>
      </c>
      <c r="C9">
        <f>AVERAGE(B4:B8)</f>
        <v>220</v>
      </c>
      <c r="D9">
        <f t="shared" si="3"/>
        <v>0.18518518518518517</v>
      </c>
      <c r="H9">
        <v>8</v>
      </c>
      <c r="I9">
        <v>270</v>
      </c>
      <c r="K9">
        <f>I4*$J$2+I5*$J$3+I6*$J$4+I7*$J$5+I8*$J$6</f>
        <v>229</v>
      </c>
      <c r="L9">
        <f t="shared" si="4"/>
        <v>0.15185185185185185</v>
      </c>
      <c r="P9">
        <v>8</v>
      </c>
      <c r="Q9">
        <v>270</v>
      </c>
      <c r="R9">
        <f t="shared" si="1"/>
        <v>230</v>
      </c>
      <c r="S9">
        <f t="shared" si="0"/>
        <v>238</v>
      </c>
      <c r="T9">
        <f t="shared" si="2"/>
        <v>3.4782608695652174E-2</v>
      </c>
    </row>
    <row r="10" spans="1:20" x14ac:dyDescent="0.25">
      <c r="A10">
        <v>9</v>
      </c>
      <c r="B10">
        <v>275</v>
      </c>
      <c r="C10">
        <f>AVERAGE(B5:B9)</f>
        <v>224</v>
      </c>
      <c r="D10">
        <f t="shared" si="3"/>
        <v>0.18545454545454546</v>
      </c>
      <c r="H10">
        <v>9</v>
      </c>
      <c r="I10">
        <v>275</v>
      </c>
      <c r="K10">
        <f t="shared" ref="K8:K12" si="5">I5*$J$2+I6*$J$3+I7*$J$4+I8*$J$5+I9*$J$6</f>
        <v>239</v>
      </c>
      <c r="L10">
        <f t="shared" si="4"/>
        <v>0.13090909090909092</v>
      </c>
      <c r="P10">
        <v>9</v>
      </c>
      <c r="Q10">
        <v>275</v>
      </c>
      <c r="R10">
        <f t="shared" si="1"/>
        <v>270</v>
      </c>
      <c r="S10">
        <f t="shared" si="0"/>
        <v>271</v>
      </c>
      <c r="T10">
        <f t="shared" si="2"/>
        <v>3.7037037037037038E-3</v>
      </c>
    </row>
    <row r="11" spans="1:20" x14ac:dyDescent="0.25">
      <c r="A11">
        <v>10</v>
      </c>
      <c r="B11">
        <v>280</v>
      </c>
      <c r="C11">
        <f>AVERAGE(B6:B10)</f>
        <v>241</v>
      </c>
      <c r="D11">
        <f t="shared" si="3"/>
        <v>0.13928571428571429</v>
      </c>
      <c r="H11">
        <v>10</v>
      </c>
      <c r="I11">
        <v>280</v>
      </c>
      <c r="K11">
        <f t="shared" si="5"/>
        <v>257</v>
      </c>
      <c r="L11">
        <f t="shared" si="4"/>
        <v>8.2142857142857142E-2</v>
      </c>
      <c r="P11">
        <v>10</v>
      </c>
      <c r="Q11">
        <v>280</v>
      </c>
      <c r="R11">
        <f t="shared" si="1"/>
        <v>275</v>
      </c>
      <c r="S11">
        <f>Q11*0.2+(1-0.2)*R11</f>
        <v>276</v>
      </c>
      <c r="T11">
        <f t="shared" si="2"/>
        <v>3.6363636363636364E-3</v>
      </c>
    </row>
    <row r="12" spans="1:20" x14ac:dyDescent="0.25">
      <c r="A12" s="1" t="s">
        <v>3</v>
      </c>
      <c r="C12" s="1">
        <f>AVERAGE(B7:B11)</f>
        <v>261</v>
      </c>
      <c r="D12" s="1">
        <f>(AVERAGE(D7:D11))*100</f>
        <v>14.935900202856725</v>
      </c>
      <c r="H12" t="s">
        <v>3</v>
      </c>
      <c r="K12" s="1">
        <f t="shared" si="5"/>
        <v>269.5</v>
      </c>
      <c r="L12" s="1">
        <f>100*AVERAGE(L7:L11)</f>
        <v>12.654597737206435</v>
      </c>
      <c r="T12" s="1">
        <f>100*AVERAGE(T3:T11)</f>
        <v>2.6946889744245457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Texas A&amp;M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Amalesh</dc:creator>
  <cp:lastModifiedBy>Sharma, Amalesh</cp:lastModifiedBy>
  <dcterms:created xsi:type="dcterms:W3CDTF">2024-07-09T16:03:00Z</dcterms:created>
  <dcterms:modified xsi:type="dcterms:W3CDTF">2024-07-09T16:24:07Z</dcterms:modified>
</cp:coreProperties>
</file>